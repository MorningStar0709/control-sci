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System\Desktop\"/>
    </mc:Choice>
  </mc:AlternateContent>
  <xr:revisionPtr revIDLastSave="0" documentId="8_{27FA5EC8-69DC-4884-BAC9-5BCCC9754C82}" xr6:coauthVersionLast="47" xr6:coauthVersionMax="47" xr10:uidLastSave="{00000000-0000-0000-0000-000000000000}"/>
  <bookViews>
    <workbookView xWindow="2280" yWindow="2280" windowWidth="19200" windowHeight="11710" activeTab="1" xr2:uid="{4C8A27A7-8E8A-45F6-A0F7-A4E30542F15F}"/>
  </bookViews>
  <sheets>
    <sheet name="适用范围" sheetId="1" r:id="rId1"/>
    <sheet name="详细参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D29" i="1" s="1"/>
  <c r="F28" i="1"/>
  <c r="F29" i="1" s="1"/>
  <c r="G28" i="1"/>
  <c r="H28" i="1"/>
  <c r="I28" i="1"/>
  <c r="J28" i="1"/>
  <c r="K28" i="1"/>
  <c r="H29" i="1"/>
  <c r="J29" i="1"/>
  <c r="D12" i="2"/>
  <c r="E12" i="2"/>
  <c r="F12" i="2"/>
  <c r="G12" i="2" s="1"/>
  <c r="H12" i="2"/>
  <c r="I12" i="2" s="1"/>
  <c r="J12" i="2"/>
  <c r="K12" i="2"/>
  <c r="D17" i="2"/>
  <c r="E17" i="2"/>
  <c r="F17" i="2"/>
  <c r="G17" i="2"/>
  <c r="H17" i="2"/>
  <c r="I17" i="2"/>
  <c r="J17" i="2"/>
  <c r="K17" i="2"/>
</calcChain>
</file>

<file path=xl/sharedStrings.xml><?xml version="1.0" encoding="utf-8"?>
<sst xmlns="http://schemas.openxmlformats.org/spreadsheetml/2006/main" count="105" uniqueCount="53">
  <si>
    <t>智能组塔机与杆塔通用设计初步对应关系（根据收集近期的施工方案整理）</t>
  </si>
  <si>
    <t>杆下起重量</t>
  </si>
  <si>
    <t>kN</t>
  </si>
  <si>
    <t>臂长</t>
  </si>
  <si>
    <t>m</t>
  </si>
  <si>
    <t>杆身截面</t>
  </si>
  <si>
    <t>mm</t>
  </si>
  <si>
    <t>最大使用高度</t>
  </si>
  <si>
    <t>标称起重力矩</t>
  </si>
  <si>
    <t>系列号</t>
  </si>
  <si>
    <t>Ⅰ</t>
  </si>
  <si>
    <t>Ⅱ</t>
  </si>
  <si>
    <t>Ⅲ</t>
  </si>
  <si>
    <t>Ⅳ</t>
  </si>
  <si>
    <t>110千伏
35千伏四回</t>
  </si>
  <si>
    <t>单回</t>
  </si>
  <si>
    <t>直线</t>
  </si>
  <si>
    <t>耐张</t>
  </si>
  <si>
    <t>双回</t>
  </si>
  <si>
    <t>220千伏
110千伏四回</t>
  </si>
  <si>
    <r>
      <t>330千伏</t>
    </r>
    <r>
      <rPr>
        <sz val="12"/>
        <rFont val="宋体"/>
        <charset val="134"/>
      </rPr>
      <t xml:space="preserve">
220千伏+110千伏</t>
    </r>
  </si>
  <si>
    <t>500千伏
220千伏四回</t>
  </si>
  <si>
    <t>750千伏</t>
  </si>
  <si>
    <t>应用概率</t>
  </si>
  <si>
    <t>%</t>
  </si>
  <si>
    <t>杆身截面占比</t>
  </si>
  <si>
    <r>
      <t xml:space="preserve">注：标称起重力矩按照杆塔组立安装时，吊件重量与安装位置重心至铁塔中心距离乘积的最大值归并。
① 阿拉伯数字“3”“2”“1”表示抱杆参数与杆塔吊装需求的契合度。
② 330千伏的单回直线塔及单回耐张塔，按照导线对地高度及电气间隙估算。
③ 750千伏的杆塔，按照导线对地高度及电气间隙估算。
④ 四回路塔及110千伏与220千伏混压，按照安徽公司工程设计的铁塔统计。
⑤ 标称起重力矩在细致分析杆塔通用设计时进一步优化。
⑥ 臂长及杆下起重量，在抱杆结构设计时优化调整。
</t>
    </r>
    <r>
      <rPr>
        <b/>
        <sz val="12"/>
        <rFont val="宋体"/>
        <charset val="134"/>
      </rPr>
      <t>命名建议：</t>
    </r>
    <r>
      <rPr>
        <sz val="12"/>
        <rFont val="宋体"/>
        <charset val="134"/>
      </rPr>
      <t>系列号-臂长（m）-杆下起重量（kN）
实例：Ⅱ-6-30</t>
    </r>
  </si>
  <si>
    <t>智能组塔机系列化参数</t>
  </si>
  <si>
    <t>kNm</t>
  </si>
  <si>
    <t>起升倍率</t>
  </si>
  <si>
    <t>额定起升牵引力</t>
  </si>
  <si>
    <t>起升绞磨牵引力</t>
  </si>
  <si>
    <t>起升钢丝绳直径</t>
  </si>
  <si>
    <t>φ10</t>
  </si>
  <si>
    <t>φ13</t>
  </si>
  <si>
    <t>起升钢丝绳长度</t>
  </si>
  <si>
    <t>变幅倍率</t>
  </si>
  <si>
    <t>额定变幅牵引力</t>
  </si>
  <si>
    <t>变幅绞磨牵引力</t>
  </si>
  <si>
    <t>变幅钢丝绳直径</t>
  </si>
  <si>
    <t>变幅钢丝绳长度</t>
  </si>
  <si>
    <t>回转支承</t>
  </si>
  <si>
    <t>轻型、内齿圈、反装</t>
  </si>
  <si>
    <t>驱动齿轮</t>
  </si>
  <si>
    <t>装配成整体</t>
  </si>
  <si>
    <t>与回转支承配合</t>
  </si>
  <si>
    <t>回转驱动减速器</t>
  </si>
  <si>
    <t>摆线针轮减速器、仰装，与驱动齿轮及液力耦合器配合</t>
  </si>
  <si>
    <t>液力耦合器</t>
  </si>
  <si>
    <t>仰装，与摆线针轮减速器及回转驱动电机配套配合</t>
  </si>
  <si>
    <t>回转驱动电机</t>
  </si>
  <si>
    <t>交流异步电机、户外型、仰装，与液力耦合器配合。推荐16极交流异步电机。</t>
  </si>
  <si>
    <t>说明：
1.起升及变幅系统钢丝绳线速度，建议为12m/min。为提高作业效率，优先采用双速电机，可以考虑变频调速。
2.最大幅度时，吊件回转运动的圆周线速度不超过起升速度（5m/min）。
3.智能组塔机提升采用钢丝绳。可参考GB 25194-2010《杂物电梯制造与安装安全规范》第9章规定。
4.臂长6m以下，采用平面桁架结构；臂长6m以上采用截面为矩形的立体桁架结构，水平方向为长轴方向。
5.臂长6m需计算比较后确定结构型式。
6.上表中Ⅳ型考虑采用钢管结构。
7.杆件连接方式，建议采用螺栓，螺栓等级及其紧固扭矩应论证确定。
8.回转部分不考虑制动。
9.研发10kN、20kN的电动绞磨。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</si>
</sst>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 vertical="center"/>
    </xf>
    <xf numFmtId="0" fontId="0" fillId="3" borderId="5" xfId="0" applyFont="1" applyFill="1" applyBorder="1" applyAlignment="1">
      <alignment horizontal="left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76" fontId="0" fillId="3" borderId="15" xfId="0" applyNumberFormat="1" applyFill="1" applyBorder="1" applyAlignment="1">
      <alignment horizontal="center" vertical="center"/>
    </xf>
    <xf numFmtId="176" fontId="0" fillId="3" borderId="16" xfId="0" applyNumberForma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left" vertical="center" wrapText="1"/>
    </xf>
    <xf numFmtId="176" fontId="0" fillId="2" borderId="19" xfId="0" applyNumberFormat="1" applyFont="1" applyFill="1" applyBorder="1" applyAlignment="1">
      <alignment horizontal="center" vertical="center"/>
    </xf>
    <xf numFmtId="176" fontId="0" fillId="2" borderId="20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176" fontId="0" fillId="3" borderId="27" xfId="0" applyNumberForma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Fill="1" applyBorder="1">
      <alignment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3" fillId="0" borderId="6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3635-A71B-47A0-9E2B-F55ABB09F7F3}">
  <dimension ref="A1:K30"/>
  <sheetViews>
    <sheetView zoomScaleSheetLayoutView="100" workbookViewId="0">
      <selection sqref="A1:IV65536"/>
    </sheetView>
  </sheetViews>
  <sheetFormatPr defaultColWidth="9" defaultRowHeight="15" x14ac:dyDescent="0.25"/>
  <cols>
    <col min="1" max="1" width="17.58203125" customWidth="1"/>
    <col min="2" max="3" width="5.5" customWidth="1"/>
    <col min="4" max="11" width="8.6640625" customWidth="1"/>
  </cols>
  <sheetData>
    <row r="1" spans="1:11" ht="30" customHeight="1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x14ac:dyDescent="0.25">
      <c r="A2" s="66" t="s">
        <v>1</v>
      </c>
      <c r="B2" s="80" t="s">
        <v>2</v>
      </c>
      <c r="C2" s="80"/>
      <c r="D2" s="67">
        <v>10</v>
      </c>
      <c r="E2" s="67">
        <v>7.5</v>
      </c>
      <c r="F2" s="8">
        <v>30</v>
      </c>
      <c r="G2" s="8">
        <v>25</v>
      </c>
      <c r="H2" s="67">
        <v>40</v>
      </c>
      <c r="I2" s="67">
        <v>35</v>
      </c>
      <c r="J2" s="8">
        <v>40</v>
      </c>
      <c r="K2" s="8">
        <v>35</v>
      </c>
    </row>
    <row r="3" spans="1:11" x14ac:dyDescent="0.25">
      <c r="A3" s="66" t="s">
        <v>3</v>
      </c>
      <c r="B3" s="80" t="s">
        <v>4</v>
      </c>
      <c r="C3" s="80"/>
      <c r="D3" s="67">
        <v>3</v>
      </c>
      <c r="E3" s="67">
        <v>4</v>
      </c>
      <c r="F3" s="8">
        <v>6</v>
      </c>
      <c r="G3" s="8">
        <v>7.5</v>
      </c>
      <c r="H3" s="67">
        <v>9</v>
      </c>
      <c r="I3" s="67">
        <v>10.5</v>
      </c>
      <c r="J3" s="8">
        <v>12</v>
      </c>
      <c r="K3" s="8">
        <v>14</v>
      </c>
    </row>
    <row r="4" spans="1:11" x14ac:dyDescent="0.25">
      <c r="A4" s="66" t="s">
        <v>5</v>
      </c>
      <c r="B4" s="80" t="s">
        <v>6</v>
      </c>
      <c r="C4" s="80"/>
      <c r="D4" s="81">
        <v>400</v>
      </c>
      <c r="E4" s="81"/>
      <c r="F4" s="80">
        <v>500</v>
      </c>
      <c r="G4" s="80"/>
      <c r="H4" s="81">
        <v>600</v>
      </c>
      <c r="I4" s="81"/>
      <c r="J4" s="80">
        <v>750</v>
      </c>
      <c r="K4" s="80"/>
    </row>
    <row r="5" spans="1:11" x14ac:dyDescent="0.25">
      <c r="A5" s="66" t="s">
        <v>7</v>
      </c>
      <c r="B5" s="80" t="s">
        <v>4</v>
      </c>
      <c r="C5" s="80"/>
      <c r="D5" s="81">
        <v>50</v>
      </c>
      <c r="E5" s="81"/>
      <c r="F5" s="82">
        <v>65</v>
      </c>
      <c r="G5" s="83"/>
      <c r="H5" s="84">
        <v>85</v>
      </c>
      <c r="I5" s="85"/>
      <c r="J5" s="82">
        <v>105</v>
      </c>
      <c r="K5" s="83"/>
    </row>
    <row r="6" spans="1:11" x14ac:dyDescent="0.25">
      <c r="A6" s="66" t="s">
        <v>8</v>
      </c>
      <c r="B6" s="86"/>
      <c r="C6" s="86"/>
      <c r="D6" s="84">
        <v>30</v>
      </c>
      <c r="E6" s="85"/>
      <c r="F6" s="82">
        <v>180</v>
      </c>
      <c r="G6" s="83"/>
      <c r="H6" s="84">
        <v>360</v>
      </c>
      <c r="I6" s="85"/>
      <c r="J6" s="82">
        <v>480</v>
      </c>
      <c r="K6" s="83"/>
    </row>
    <row r="7" spans="1:11" x14ac:dyDescent="0.25">
      <c r="A7" s="68" t="s">
        <v>9</v>
      </c>
      <c r="B7" s="87"/>
      <c r="C7" s="88"/>
      <c r="D7" s="89" t="s">
        <v>10</v>
      </c>
      <c r="E7" s="90"/>
      <c r="F7" s="91" t="s">
        <v>11</v>
      </c>
      <c r="G7" s="92"/>
      <c r="H7" s="89" t="s">
        <v>12</v>
      </c>
      <c r="I7" s="90"/>
      <c r="J7" s="91" t="s">
        <v>13</v>
      </c>
      <c r="K7" s="92"/>
    </row>
    <row r="8" spans="1:11" x14ac:dyDescent="0.25">
      <c r="A8" s="96" t="s">
        <v>14</v>
      </c>
      <c r="B8" s="100" t="s">
        <v>15</v>
      </c>
      <c r="C8" s="69" t="s">
        <v>16</v>
      </c>
      <c r="D8" s="70">
        <v>2</v>
      </c>
      <c r="E8" s="70">
        <v>3</v>
      </c>
      <c r="F8" s="15">
        <v>1</v>
      </c>
      <c r="G8" s="15"/>
      <c r="H8" s="71"/>
      <c r="I8" s="71"/>
      <c r="J8" s="15"/>
      <c r="K8" s="15"/>
    </row>
    <row r="9" spans="1:11" x14ac:dyDescent="0.25">
      <c r="A9" s="97"/>
      <c r="B9" s="101"/>
      <c r="C9" s="69" t="s">
        <v>17</v>
      </c>
      <c r="D9" s="70">
        <v>2</v>
      </c>
      <c r="E9" s="70">
        <v>3</v>
      </c>
      <c r="F9" s="15">
        <v>1</v>
      </c>
      <c r="G9" s="15"/>
      <c r="H9" s="71"/>
      <c r="I9" s="71"/>
      <c r="J9" s="15"/>
      <c r="K9" s="15"/>
    </row>
    <row r="10" spans="1:11" x14ac:dyDescent="0.25">
      <c r="A10" s="97"/>
      <c r="B10" s="100" t="s">
        <v>18</v>
      </c>
      <c r="C10" s="69" t="s">
        <v>16</v>
      </c>
      <c r="D10" s="70">
        <v>1</v>
      </c>
      <c r="E10" s="70">
        <v>3</v>
      </c>
      <c r="F10" s="15">
        <v>2</v>
      </c>
      <c r="G10" s="15"/>
      <c r="H10" s="71"/>
      <c r="I10" s="71"/>
      <c r="J10" s="15"/>
      <c r="K10" s="15"/>
    </row>
    <row r="11" spans="1:11" x14ac:dyDescent="0.25">
      <c r="A11" s="97"/>
      <c r="B11" s="101"/>
      <c r="C11" s="69" t="s">
        <v>17</v>
      </c>
      <c r="D11" s="70">
        <v>1</v>
      </c>
      <c r="E11" s="70">
        <v>3</v>
      </c>
      <c r="F11" s="15">
        <v>2</v>
      </c>
      <c r="G11" s="15"/>
      <c r="H11" s="71"/>
      <c r="I11" s="71"/>
      <c r="J11" s="15"/>
      <c r="K11" s="15"/>
    </row>
    <row r="12" spans="1:11" x14ac:dyDescent="0.25">
      <c r="A12" s="96" t="s">
        <v>19</v>
      </c>
      <c r="B12" s="100" t="s">
        <v>15</v>
      </c>
      <c r="C12" s="69" t="s">
        <v>16</v>
      </c>
      <c r="D12" s="71"/>
      <c r="E12" s="71"/>
      <c r="F12" s="15">
        <v>3</v>
      </c>
      <c r="G12" s="15">
        <v>2</v>
      </c>
      <c r="H12" s="71">
        <v>1</v>
      </c>
      <c r="I12" s="71"/>
      <c r="J12" s="15"/>
      <c r="K12" s="15"/>
    </row>
    <row r="13" spans="1:11" x14ac:dyDescent="0.25">
      <c r="A13" s="97"/>
      <c r="B13" s="101"/>
      <c r="C13" s="69" t="s">
        <v>17</v>
      </c>
      <c r="D13" s="71"/>
      <c r="E13" s="71"/>
      <c r="F13" s="15">
        <v>2</v>
      </c>
      <c r="G13" s="15">
        <v>3</v>
      </c>
      <c r="H13" s="71">
        <v>1</v>
      </c>
      <c r="I13" s="71"/>
      <c r="J13" s="15"/>
      <c r="K13" s="15"/>
    </row>
    <row r="14" spans="1:11" x14ac:dyDescent="0.25">
      <c r="A14" s="97"/>
      <c r="B14" s="100" t="s">
        <v>18</v>
      </c>
      <c r="C14" s="69" t="s">
        <v>16</v>
      </c>
      <c r="D14" s="71"/>
      <c r="E14" s="71"/>
      <c r="F14" s="15">
        <v>2</v>
      </c>
      <c r="G14" s="15">
        <v>3</v>
      </c>
      <c r="H14" s="71">
        <v>1</v>
      </c>
      <c r="I14" s="71"/>
      <c r="J14" s="15"/>
      <c r="K14" s="15"/>
    </row>
    <row r="15" spans="1:11" x14ac:dyDescent="0.25">
      <c r="A15" s="97"/>
      <c r="B15" s="101"/>
      <c r="C15" s="69" t="s">
        <v>17</v>
      </c>
      <c r="D15" s="71"/>
      <c r="E15" s="71"/>
      <c r="F15" s="15">
        <v>2</v>
      </c>
      <c r="G15" s="15">
        <v>3</v>
      </c>
      <c r="H15" s="71">
        <v>1</v>
      </c>
      <c r="I15" s="71"/>
      <c r="J15" s="15"/>
      <c r="K15" s="15"/>
    </row>
    <row r="16" spans="1:11" x14ac:dyDescent="0.25">
      <c r="A16" s="98" t="s">
        <v>20</v>
      </c>
      <c r="B16" s="102" t="s">
        <v>15</v>
      </c>
      <c r="C16" s="72" t="s">
        <v>16</v>
      </c>
      <c r="D16" s="71"/>
      <c r="E16" s="71"/>
      <c r="F16" s="15"/>
      <c r="G16" s="15">
        <v>2</v>
      </c>
      <c r="H16" s="70">
        <v>3</v>
      </c>
      <c r="I16" s="70">
        <v>1</v>
      </c>
      <c r="J16" s="15"/>
      <c r="K16" s="15"/>
    </row>
    <row r="17" spans="1:11" x14ac:dyDescent="0.25">
      <c r="A17" s="97"/>
      <c r="B17" s="103"/>
      <c r="C17" s="73" t="s">
        <v>17</v>
      </c>
      <c r="D17" s="71"/>
      <c r="E17" s="71"/>
      <c r="F17" s="15"/>
      <c r="G17" s="15">
        <v>1</v>
      </c>
      <c r="H17" s="70">
        <v>3</v>
      </c>
      <c r="I17" s="70">
        <v>2</v>
      </c>
      <c r="J17" s="15"/>
      <c r="K17" s="15"/>
    </row>
    <row r="18" spans="1:11" x14ac:dyDescent="0.25">
      <c r="A18" s="97"/>
      <c r="B18" s="100" t="s">
        <v>18</v>
      </c>
      <c r="C18" s="69" t="s">
        <v>16</v>
      </c>
      <c r="D18" s="71"/>
      <c r="E18" s="71"/>
      <c r="F18" s="15"/>
      <c r="G18" s="15"/>
      <c r="H18" s="70">
        <v>2</v>
      </c>
      <c r="I18" s="70">
        <v>3</v>
      </c>
      <c r="J18" s="15">
        <v>1</v>
      </c>
      <c r="K18" s="15"/>
    </row>
    <row r="19" spans="1:11" x14ac:dyDescent="0.25">
      <c r="A19" s="97"/>
      <c r="B19" s="100"/>
      <c r="C19" s="69" t="s">
        <v>17</v>
      </c>
      <c r="D19" s="71"/>
      <c r="E19" s="71"/>
      <c r="F19" s="15"/>
      <c r="G19" s="15"/>
      <c r="H19" s="70">
        <v>2</v>
      </c>
      <c r="I19" s="70">
        <v>3</v>
      </c>
      <c r="J19" s="15">
        <v>1</v>
      </c>
      <c r="K19" s="15"/>
    </row>
    <row r="20" spans="1:11" x14ac:dyDescent="0.25">
      <c r="A20" s="96" t="s">
        <v>21</v>
      </c>
      <c r="B20" s="100" t="s">
        <v>15</v>
      </c>
      <c r="C20" s="69" t="s">
        <v>16</v>
      </c>
      <c r="D20" s="71"/>
      <c r="E20" s="71"/>
      <c r="F20" s="15"/>
      <c r="G20" s="15"/>
      <c r="H20" s="71">
        <v>1</v>
      </c>
      <c r="I20" s="71">
        <v>3</v>
      </c>
      <c r="J20" s="15">
        <v>2</v>
      </c>
      <c r="K20" s="15"/>
    </row>
    <row r="21" spans="1:11" x14ac:dyDescent="0.25">
      <c r="A21" s="97"/>
      <c r="B21" s="101"/>
      <c r="C21" s="69" t="s">
        <v>17</v>
      </c>
      <c r="D21" s="71"/>
      <c r="E21" s="71"/>
      <c r="F21" s="15"/>
      <c r="G21" s="15"/>
      <c r="H21" s="71">
        <v>1</v>
      </c>
      <c r="I21" s="71">
        <v>3</v>
      </c>
      <c r="J21" s="15">
        <v>2</v>
      </c>
      <c r="K21" s="15"/>
    </row>
    <row r="22" spans="1:11" x14ac:dyDescent="0.25">
      <c r="A22" s="97"/>
      <c r="B22" s="100" t="s">
        <v>18</v>
      </c>
      <c r="C22" s="69" t="s">
        <v>16</v>
      </c>
      <c r="D22" s="71"/>
      <c r="E22" s="71"/>
      <c r="F22" s="15"/>
      <c r="G22" s="15"/>
      <c r="H22" s="71"/>
      <c r="I22" s="71">
        <v>2</v>
      </c>
      <c r="J22" s="15">
        <v>3</v>
      </c>
      <c r="K22" s="15">
        <v>1</v>
      </c>
    </row>
    <row r="23" spans="1:11" x14ac:dyDescent="0.25">
      <c r="A23" s="97"/>
      <c r="B23" s="100"/>
      <c r="C23" s="69" t="s">
        <v>17</v>
      </c>
      <c r="D23" s="71"/>
      <c r="E23" s="71"/>
      <c r="F23" s="15"/>
      <c r="G23" s="15"/>
      <c r="H23" s="71"/>
      <c r="I23" s="71">
        <v>3</v>
      </c>
      <c r="J23" s="15">
        <v>2</v>
      </c>
      <c r="K23" s="15">
        <v>1</v>
      </c>
    </row>
    <row r="24" spans="1:11" x14ac:dyDescent="0.25">
      <c r="A24" s="99" t="s">
        <v>22</v>
      </c>
      <c r="B24" s="102" t="s">
        <v>15</v>
      </c>
      <c r="C24" s="72" t="s">
        <v>16</v>
      </c>
      <c r="D24" s="74"/>
      <c r="E24" s="74"/>
      <c r="F24" s="75"/>
      <c r="G24" s="75"/>
      <c r="H24" s="74"/>
      <c r="I24" s="77">
        <v>1</v>
      </c>
      <c r="J24" s="78">
        <v>3</v>
      </c>
      <c r="K24" s="78">
        <v>2</v>
      </c>
    </row>
    <row r="25" spans="1:11" x14ac:dyDescent="0.25">
      <c r="A25" s="99"/>
      <c r="B25" s="103"/>
      <c r="C25" s="73" t="s">
        <v>17</v>
      </c>
      <c r="D25" s="74"/>
      <c r="E25" s="74"/>
      <c r="F25" s="75"/>
      <c r="G25" s="75"/>
      <c r="H25" s="74"/>
      <c r="I25" s="77">
        <v>1</v>
      </c>
      <c r="J25" s="78">
        <v>3</v>
      </c>
      <c r="K25" s="78">
        <v>2</v>
      </c>
    </row>
    <row r="26" spans="1:11" x14ac:dyDescent="0.25">
      <c r="A26" s="99"/>
      <c r="B26" s="102" t="s">
        <v>18</v>
      </c>
      <c r="C26" s="72" t="s">
        <v>16</v>
      </c>
      <c r="D26" s="74"/>
      <c r="E26" s="74"/>
      <c r="F26" s="75"/>
      <c r="G26" s="75"/>
      <c r="H26" s="74"/>
      <c r="I26" s="77">
        <v>1</v>
      </c>
      <c r="J26" s="78">
        <v>3</v>
      </c>
      <c r="K26" s="78">
        <v>2</v>
      </c>
    </row>
    <row r="27" spans="1:11" x14ac:dyDescent="0.25">
      <c r="A27" s="99"/>
      <c r="B27" s="102"/>
      <c r="C27" s="73" t="s">
        <v>17</v>
      </c>
      <c r="D27" s="74"/>
      <c r="E27" s="74"/>
      <c r="F27" s="75"/>
      <c r="G27" s="75"/>
      <c r="H27" s="74"/>
      <c r="I27" s="77">
        <v>1</v>
      </c>
      <c r="J27" s="78">
        <v>3</v>
      </c>
      <c r="K27" s="78">
        <v>2</v>
      </c>
    </row>
    <row r="28" spans="1:11" x14ac:dyDescent="0.25">
      <c r="A28" s="66" t="s">
        <v>23</v>
      </c>
      <c r="B28" s="93" t="s">
        <v>24</v>
      </c>
      <c r="C28" s="93"/>
      <c r="D28" s="76">
        <f>100*SUM(D8:D27)/SUM(D8:K27)</f>
        <v>5</v>
      </c>
      <c r="E28" s="76">
        <f>100*SUM(E8:E27)/SUM(D8:K27)</f>
        <v>10</v>
      </c>
      <c r="F28" s="76">
        <f>100*SUM(F8:F27)/SUM(D8:K27)</f>
        <v>12.5</v>
      </c>
      <c r="G28" s="76">
        <f>100*SUM(G8:G27)/SUM(D8:K27)</f>
        <v>11.666666666666666</v>
      </c>
      <c r="H28" s="76">
        <f>100*SUM(H8:H27)/SUM(D8:K27)</f>
        <v>13.333333333333334</v>
      </c>
      <c r="I28" s="76">
        <f>100*SUM(I8:I27)/SUM(D8:K27)</f>
        <v>20</v>
      </c>
      <c r="J28" s="76">
        <f>100*SUM(J8:J27)/SUM(D8:K27)</f>
        <v>19.166666666666668</v>
      </c>
      <c r="K28" s="76">
        <f>100*SUM(K8:K27)/SUM(D8:K27)</f>
        <v>8.3333333333333339</v>
      </c>
    </row>
    <row r="29" spans="1:11" x14ac:dyDescent="0.25">
      <c r="A29" s="66" t="s">
        <v>25</v>
      </c>
      <c r="B29" s="93" t="s">
        <v>24</v>
      </c>
      <c r="C29" s="93"/>
      <c r="D29" s="93">
        <f>SUM(D28:E28)</f>
        <v>15</v>
      </c>
      <c r="E29" s="93"/>
      <c r="F29" s="93">
        <f>SUM(F28:G28)</f>
        <v>24.166666666666664</v>
      </c>
      <c r="G29" s="93"/>
      <c r="H29" s="93">
        <f>SUM(H28:I28)</f>
        <v>33.333333333333336</v>
      </c>
      <c r="I29" s="93"/>
      <c r="J29" s="93">
        <f>SUM(J28:K28)</f>
        <v>27.5</v>
      </c>
      <c r="K29" s="93"/>
    </row>
    <row r="30" spans="1:11" ht="175" customHeight="1" x14ac:dyDescent="0.25">
      <c r="A30" s="94" t="s">
        <v>26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</row>
  </sheetData>
  <mergeCells count="45">
    <mergeCell ref="B26:B27"/>
    <mergeCell ref="A8:A11"/>
    <mergeCell ref="A12:A15"/>
    <mergeCell ref="A16:A19"/>
    <mergeCell ref="A20:A23"/>
    <mergeCell ref="A24:A27"/>
    <mergeCell ref="B8:B9"/>
    <mergeCell ref="B10:B11"/>
    <mergeCell ref="B12:B13"/>
    <mergeCell ref="B14:B15"/>
    <mergeCell ref="B16:B17"/>
    <mergeCell ref="B29:C29"/>
    <mergeCell ref="D29:E29"/>
    <mergeCell ref="F29:G29"/>
    <mergeCell ref="H29:I29"/>
    <mergeCell ref="J29:K29"/>
    <mergeCell ref="A30:K30"/>
    <mergeCell ref="B7:C7"/>
    <mergeCell ref="D7:E7"/>
    <mergeCell ref="F7:G7"/>
    <mergeCell ref="H7:I7"/>
    <mergeCell ref="J7:K7"/>
    <mergeCell ref="B28:C28"/>
    <mergeCell ref="B18:B19"/>
    <mergeCell ref="B20:B21"/>
    <mergeCell ref="B22:B23"/>
    <mergeCell ref="B24:B25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A1:K1"/>
    <mergeCell ref="B2:C2"/>
    <mergeCell ref="B3:C3"/>
    <mergeCell ref="B4:C4"/>
    <mergeCell ref="D4:E4"/>
    <mergeCell ref="F4:G4"/>
    <mergeCell ref="H4:I4"/>
    <mergeCell ref="J4:K4"/>
  </mergeCells>
  <phoneticPr fontId="4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3F6F-F81C-4339-ACA1-9195FE539FD4}">
  <dimension ref="A1:K23"/>
  <sheetViews>
    <sheetView tabSelected="1" zoomScaleSheetLayoutView="100" workbookViewId="0">
      <selection activeCell="P8" sqref="P8"/>
    </sheetView>
  </sheetViews>
  <sheetFormatPr defaultColWidth="9" defaultRowHeight="15" x14ac:dyDescent="0.25"/>
  <cols>
    <col min="1" max="1" width="17.58203125" customWidth="1"/>
    <col min="2" max="3" width="5.5" customWidth="1"/>
    <col min="4" max="11" width="8.6640625" customWidth="1"/>
  </cols>
  <sheetData>
    <row r="1" spans="1:11" ht="30" customHeight="1" x14ac:dyDescent="0.25">
      <c r="A1" s="79" t="s">
        <v>27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x14ac:dyDescent="0.25">
      <c r="A2" s="1" t="s">
        <v>1</v>
      </c>
      <c r="B2" s="104" t="s">
        <v>2</v>
      </c>
      <c r="C2" s="105"/>
      <c r="D2" s="3">
        <v>10</v>
      </c>
      <c r="E2" s="4">
        <v>7.5</v>
      </c>
      <c r="F2" s="5">
        <v>30</v>
      </c>
      <c r="G2" s="6">
        <v>25</v>
      </c>
      <c r="H2" s="3">
        <v>40</v>
      </c>
      <c r="I2" s="4">
        <v>35</v>
      </c>
      <c r="J2" s="48">
        <v>40</v>
      </c>
      <c r="K2" s="2">
        <v>35</v>
      </c>
    </row>
    <row r="3" spans="1:11" x14ac:dyDescent="0.25">
      <c r="A3" s="7" t="s">
        <v>3</v>
      </c>
      <c r="B3" s="80" t="s">
        <v>4</v>
      </c>
      <c r="C3" s="106"/>
      <c r="D3" s="10">
        <v>3</v>
      </c>
      <c r="E3" s="11">
        <v>4</v>
      </c>
      <c r="F3" s="12">
        <v>6</v>
      </c>
      <c r="G3" s="13">
        <v>7.5</v>
      </c>
      <c r="H3" s="10">
        <v>9</v>
      </c>
      <c r="I3" s="11">
        <v>10.5</v>
      </c>
      <c r="J3" s="49">
        <v>12</v>
      </c>
      <c r="K3" s="9">
        <v>14</v>
      </c>
    </row>
    <row r="4" spans="1:11" x14ac:dyDescent="0.25">
      <c r="A4" s="7" t="s">
        <v>5</v>
      </c>
      <c r="B4" s="80" t="s">
        <v>6</v>
      </c>
      <c r="C4" s="106"/>
      <c r="D4" s="107">
        <v>400</v>
      </c>
      <c r="E4" s="108"/>
      <c r="F4" s="109">
        <v>500</v>
      </c>
      <c r="G4" s="82"/>
      <c r="H4" s="107">
        <v>600</v>
      </c>
      <c r="I4" s="108"/>
      <c r="J4" s="83">
        <v>750</v>
      </c>
      <c r="K4" s="106"/>
    </row>
    <row r="5" spans="1:11" x14ac:dyDescent="0.25">
      <c r="A5" s="7" t="s">
        <v>7</v>
      </c>
      <c r="B5" s="80" t="s">
        <v>4</v>
      </c>
      <c r="C5" s="106"/>
      <c r="D5" s="107">
        <v>50</v>
      </c>
      <c r="E5" s="108"/>
      <c r="F5" s="109">
        <v>65</v>
      </c>
      <c r="G5" s="82"/>
      <c r="H5" s="107">
        <v>85</v>
      </c>
      <c r="I5" s="108"/>
      <c r="J5" s="83">
        <v>105</v>
      </c>
      <c r="K5" s="106"/>
    </row>
    <row r="6" spans="1:11" x14ac:dyDescent="0.25">
      <c r="A6" s="7" t="s">
        <v>8</v>
      </c>
      <c r="B6" s="80" t="s">
        <v>28</v>
      </c>
      <c r="C6" s="106"/>
      <c r="D6" s="107">
        <v>30</v>
      </c>
      <c r="E6" s="108"/>
      <c r="F6" s="109">
        <v>180</v>
      </c>
      <c r="G6" s="82"/>
      <c r="H6" s="107">
        <v>360</v>
      </c>
      <c r="I6" s="108"/>
      <c r="J6" s="83">
        <v>480</v>
      </c>
      <c r="K6" s="106"/>
    </row>
    <row r="7" spans="1:11" x14ac:dyDescent="0.25">
      <c r="A7" s="14" t="s">
        <v>9</v>
      </c>
      <c r="B7" s="97"/>
      <c r="C7" s="110"/>
      <c r="D7" s="111" t="s">
        <v>10</v>
      </c>
      <c r="E7" s="112"/>
      <c r="F7" s="113" t="s">
        <v>11</v>
      </c>
      <c r="G7" s="91"/>
      <c r="H7" s="111" t="s">
        <v>12</v>
      </c>
      <c r="I7" s="112"/>
      <c r="J7" s="92" t="s">
        <v>13</v>
      </c>
      <c r="K7" s="110"/>
    </row>
    <row r="8" spans="1:11" x14ac:dyDescent="0.25">
      <c r="A8" s="16" t="s">
        <v>29</v>
      </c>
      <c r="B8" s="114"/>
      <c r="C8" s="115"/>
      <c r="D8" s="17">
        <v>1</v>
      </c>
      <c r="E8" s="18">
        <v>1</v>
      </c>
      <c r="F8" s="19">
        <v>2</v>
      </c>
      <c r="G8" s="20">
        <v>2</v>
      </c>
      <c r="H8" s="21">
        <v>3</v>
      </c>
      <c r="I8" s="50">
        <v>3</v>
      </c>
      <c r="J8" s="51">
        <v>3</v>
      </c>
      <c r="K8" s="52">
        <v>3</v>
      </c>
    </row>
    <row r="9" spans="1:11" x14ac:dyDescent="0.25">
      <c r="A9" s="16" t="s">
        <v>30</v>
      </c>
      <c r="B9" s="114" t="s">
        <v>2</v>
      </c>
      <c r="C9" s="115"/>
      <c r="D9" s="22">
        <v>10</v>
      </c>
      <c r="E9" s="23">
        <v>7.5</v>
      </c>
      <c r="F9" s="24">
        <v>15</v>
      </c>
      <c r="G9" s="25">
        <v>13</v>
      </c>
      <c r="H9" s="26">
        <v>14</v>
      </c>
      <c r="I9" s="53">
        <v>12</v>
      </c>
      <c r="J9" s="54">
        <v>14</v>
      </c>
      <c r="K9" s="55">
        <v>12</v>
      </c>
    </row>
    <row r="10" spans="1:11" x14ac:dyDescent="0.25">
      <c r="A10" s="16" t="s">
        <v>31</v>
      </c>
      <c r="B10" s="114" t="s">
        <v>2</v>
      </c>
      <c r="C10" s="115"/>
      <c r="D10" s="22">
        <v>10</v>
      </c>
      <c r="E10" s="23">
        <v>10</v>
      </c>
      <c r="F10" s="27">
        <v>20</v>
      </c>
      <c r="G10" s="28">
        <v>20</v>
      </c>
      <c r="H10" s="29">
        <v>20</v>
      </c>
      <c r="I10" s="56">
        <v>20</v>
      </c>
      <c r="J10" s="57">
        <v>20</v>
      </c>
      <c r="K10" s="58">
        <v>20</v>
      </c>
    </row>
    <row r="11" spans="1:11" x14ac:dyDescent="0.25">
      <c r="A11" s="16" t="s">
        <v>32</v>
      </c>
      <c r="B11" s="114" t="s">
        <v>6</v>
      </c>
      <c r="C11" s="115"/>
      <c r="D11" s="116" t="s">
        <v>33</v>
      </c>
      <c r="E11" s="117"/>
      <c r="F11" s="118" t="s">
        <v>34</v>
      </c>
      <c r="G11" s="119"/>
      <c r="H11" s="119"/>
      <c r="I11" s="119"/>
      <c r="J11" s="119"/>
      <c r="K11" s="120"/>
    </row>
    <row r="12" spans="1:11" x14ac:dyDescent="0.25">
      <c r="A12" s="16" t="s">
        <v>35</v>
      </c>
      <c r="B12" s="121" t="s">
        <v>4</v>
      </c>
      <c r="C12" s="117"/>
      <c r="D12" s="30">
        <f>50+(D8+1)*D5+E3</f>
        <v>154</v>
      </c>
      <c r="E12" s="31">
        <f>D12</f>
        <v>154</v>
      </c>
      <c r="F12" s="32">
        <f>50+(F8+1)*F5+G3</f>
        <v>252.5</v>
      </c>
      <c r="G12" s="33">
        <f>F12</f>
        <v>252.5</v>
      </c>
      <c r="H12" s="32">
        <f>50+(H8+1)*H5+I3</f>
        <v>400.5</v>
      </c>
      <c r="I12" s="59">
        <f>H12</f>
        <v>400.5</v>
      </c>
      <c r="J12" s="33">
        <f>50+(J8+1)*J5+K3</f>
        <v>484</v>
      </c>
      <c r="K12" s="59">
        <f>J12</f>
        <v>484</v>
      </c>
    </row>
    <row r="13" spans="1:11" x14ac:dyDescent="0.25">
      <c r="A13" s="34" t="s">
        <v>36</v>
      </c>
      <c r="B13" s="122"/>
      <c r="C13" s="123"/>
      <c r="D13" s="35">
        <v>2</v>
      </c>
      <c r="E13" s="36">
        <v>2</v>
      </c>
      <c r="F13" s="37">
        <v>3</v>
      </c>
      <c r="G13" s="38">
        <v>3</v>
      </c>
      <c r="H13" s="39">
        <v>4</v>
      </c>
      <c r="I13" s="60">
        <v>4</v>
      </c>
      <c r="J13" s="61">
        <v>4</v>
      </c>
      <c r="K13" s="62">
        <v>4</v>
      </c>
    </row>
    <row r="14" spans="1:11" x14ac:dyDescent="0.25">
      <c r="A14" s="34" t="s">
        <v>37</v>
      </c>
      <c r="B14" s="122" t="s">
        <v>2</v>
      </c>
      <c r="C14" s="123"/>
      <c r="D14" s="35">
        <v>8</v>
      </c>
      <c r="E14" s="36">
        <v>6</v>
      </c>
      <c r="F14" s="37">
        <v>15</v>
      </c>
      <c r="G14" s="38">
        <v>12</v>
      </c>
      <c r="H14" s="39">
        <v>15</v>
      </c>
      <c r="I14" s="60">
        <v>13</v>
      </c>
      <c r="J14" s="61">
        <v>15</v>
      </c>
      <c r="K14" s="62">
        <v>13</v>
      </c>
    </row>
    <row r="15" spans="1:11" x14ac:dyDescent="0.25">
      <c r="A15" s="34" t="s">
        <v>38</v>
      </c>
      <c r="B15" s="122" t="s">
        <v>2</v>
      </c>
      <c r="C15" s="123"/>
      <c r="D15" s="35">
        <v>10</v>
      </c>
      <c r="E15" s="36">
        <v>10</v>
      </c>
      <c r="F15" s="40">
        <v>20</v>
      </c>
      <c r="G15" s="41">
        <v>20</v>
      </c>
      <c r="H15" s="42">
        <v>20</v>
      </c>
      <c r="I15" s="63">
        <v>20</v>
      </c>
      <c r="J15" s="64">
        <v>20</v>
      </c>
      <c r="K15" s="65">
        <v>20</v>
      </c>
    </row>
    <row r="16" spans="1:11" x14ac:dyDescent="0.25">
      <c r="A16" s="34" t="s">
        <v>39</v>
      </c>
      <c r="B16" s="122" t="s">
        <v>6</v>
      </c>
      <c r="C16" s="123"/>
      <c r="D16" s="124" t="s">
        <v>33</v>
      </c>
      <c r="E16" s="125"/>
      <c r="F16" s="126" t="s">
        <v>34</v>
      </c>
      <c r="G16" s="127"/>
      <c r="H16" s="127"/>
      <c r="I16" s="127"/>
      <c r="J16" s="127"/>
      <c r="K16" s="128"/>
    </row>
    <row r="17" spans="1:11" ht="19" customHeight="1" x14ac:dyDescent="0.25">
      <c r="A17" s="43" t="s">
        <v>40</v>
      </c>
      <c r="B17" s="129" t="s">
        <v>4</v>
      </c>
      <c r="C17" s="130"/>
      <c r="D17" s="44">
        <f>50+D5+D3+1.42*D13*D3</f>
        <v>111.52</v>
      </c>
      <c r="E17" s="45">
        <f>50+D5+E3+1.42*E13*E3</f>
        <v>115.36</v>
      </c>
      <c r="F17" s="45">
        <f>50+F5+F3+1.42*F13*F3</f>
        <v>146.56</v>
      </c>
      <c r="G17" s="45">
        <f>50+F5+G3+1.42*G13*G3</f>
        <v>154.44999999999999</v>
      </c>
      <c r="H17" s="45">
        <f>50+H5+H3+1.42*H13*H3</f>
        <v>195.12</v>
      </c>
      <c r="I17" s="45">
        <f>50+H5+I3+1.42*I13*I3</f>
        <v>205.14</v>
      </c>
      <c r="J17" s="45">
        <f>50+J5+J3+1.42*J13*J3</f>
        <v>235.16</v>
      </c>
      <c r="K17" s="45">
        <f>50+J5+K3+1.42*K13*K3</f>
        <v>248.51999999999998</v>
      </c>
    </row>
    <row r="18" spans="1:11" x14ac:dyDescent="0.25">
      <c r="A18" s="46" t="s">
        <v>41</v>
      </c>
      <c r="B18" s="80" t="s">
        <v>42</v>
      </c>
      <c r="C18" s="80"/>
      <c r="D18" s="80"/>
      <c r="E18" s="80"/>
      <c r="F18" s="80"/>
      <c r="G18" s="80"/>
      <c r="H18" s="80"/>
      <c r="I18" s="80"/>
      <c r="J18" s="80"/>
      <c r="K18" s="106"/>
    </row>
    <row r="19" spans="1:11" x14ac:dyDescent="0.25">
      <c r="A19" s="46" t="s">
        <v>43</v>
      </c>
      <c r="B19" s="80" t="s">
        <v>44</v>
      </c>
      <c r="C19" s="80"/>
      <c r="D19" s="131" t="s">
        <v>45</v>
      </c>
      <c r="E19" s="131"/>
      <c r="F19" s="131"/>
      <c r="G19" s="131"/>
      <c r="H19" s="131"/>
      <c r="I19" s="131"/>
      <c r="J19" s="131"/>
      <c r="K19" s="132"/>
    </row>
    <row r="20" spans="1:11" x14ac:dyDescent="0.25">
      <c r="A20" s="46" t="s">
        <v>46</v>
      </c>
      <c r="B20" s="80"/>
      <c r="C20" s="80"/>
      <c r="D20" s="131" t="s">
        <v>47</v>
      </c>
      <c r="E20" s="131"/>
      <c r="F20" s="131"/>
      <c r="G20" s="131"/>
      <c r="H20" s="131"/>
      <c r="I20" s="131"/>
      <c r="J20" s="131"/>
      <c r="K20" s="132"/>
    </row>
    <row r="21" spans="1:11" x14ac:dyDescent="0.25">
      <c r="A21" s="46" t="s">
        <v>48</v>
      </c>
      <c r="B21" s="80"/>
      <c r="C21" s="80"/>
      <c r="D21" s="131" t="s">
        <v>49</v>
      </c>
      <c r="E21" s="131"/>
      <c r="F21" s="131"/>
      <c r="G21" s="131"/>
      <c r="H21" s="131"/>
      <c r="I21" s="131"/>
      <c r="J21" s="131"/>
      <c r="K21" s="132"/>
    </row>
    <row r="22" spans="1:11" x14ac:dyDescent="0.25">
      <c r="A22" s="47" t="s">
        <v>50</v>
      </c>
      <c r="B22" s="138"/>
      <c r="C22" s="138"/>
      <c r="D22" s="133" t="s">
        <v>51</v>
      </c>
      <c r="E22" s="133"/>
      <c r="F22" s="133"/>
      <c r="G22" s="133"/>
      <c r="H22" s="133"/>
      <c r="I22" s="133"/>
      <c r="J22" s="133"/>
      <c r="K22" s="134"/>
    </row>
    <row r="23" spans="1:11" ht="171" customHeight="1" x14ac:dyDescent="0.25">
      <c r="A23" s="135" t="s">
        <v>52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</sheetData>
  <mergeCells count="44">
    <mergeCell ref="A23:K23"/>
    <mergeCell ref="B19:C22"/>
    <mergeCell ref="B17:C17"/>
    <mergeCell ref="B18:K18"/>
    <mergeCell ref="D19:K19"/>
    <mergeCell ref="D20:K20"/>
    <mergeCell ref="D21:K21"/>
    <mergeCell ref="D22:K22"/>
    <mergeCell ref="B13:C13"/>
    <mergeCell ref="B14:C14"/>
    <mergeCell ref="B15:C15"/>
    <mergeCell ref="B16:C16"/>
    <mergeCell ref="D16:E16"/>
    <mergeCell ref="F16:K16"/>
    <mergeCell ref="B9:C9"/>
    <mergeCell ref="B10:C10"/>
    <mergeCell ref="B11:C11"/>
    <mergeCell ref="D11:E11"/>
    <mergeCell ref="F11:K11"/>
    <mergeCell ref="B12:C12"/>
    <mergeCell ref="B7:C7"/>
    <mergeCell ref="D7:E7"/>
    <mergeCell ref="F7:G7"/>
    <mergeCell ref="H7:I7"/>
    <mergeCell ref="J7:K7"/>
    <mergeCell ref="B8:C8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A1:K1"/>
    <mergeCell ref="B2:C2"/>
    <mergeCell ref="B3:C3"/>
    <mergeCell ref="B4:C4"/>
    <mergeCell ref="D4:E4"/>
    <mergeCell ref="F4:G4"/>
    <mergeCell ref="H4:I4"/>
    <mergeCell ref="J4:K4"/>
  </mergeCells>
  <phoneticPr fontId="4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  <ignoredErrors>
    <ignoredError sqref="J17 H17 E17 E12:J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B12C-8DE4-40A3-8DED-24A291B6BDD2}">
  <dimension ref="A1"/>
  <sheetViews>
    <sheetView zoomScaleSheetLayoutView="100" workbookViewId="0"/>
  </sheetViews>
  <sheetFormatPr defaultColWidth="9" defaultRowHeight="15" x14ac:dyDescent="0.25"/>
  <sheetData/>
  <phoneticPr fontId="4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适用范围</vt:lpstr>
      <vt:lpstr>详细参数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外网计算机</dc:creator>
  <cp:lastModifiedBy>Morning Star</cp:lastModifiedBy>
  <dcterms:created xsi:type="dcterms:W3CDTF">2016-12-02T08:54:00Z</dcterms:created>
  <dcterms:modified xsi:type="dcterms:W3CDTF">2026-05-09T15:46:43Z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81F9A218724A4B8D84219D900F729251</vt:lpwstr>
  </property>
</Properties>
</file>